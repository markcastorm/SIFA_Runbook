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rk Castro\Documents\SIFA_Runbook\Project_information\"/>
    </mc:Choice>
  </mc:AlternateContent>
  <xr:revisionPtr revIDLastSave="0" documentId="8_{5451DAEA-65DE-4412-B5F1-C7E17C4F50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4" sheetId="1" r:id="rId1"/>
  </sheets>
  <definedNames>
    <definedName name="_xlnm.Print_Area" localSheetId="0">'2024'!$A$1:$I$110</definedName>
    <definedName name="_xlnm.Print_Titles" localSheetId="0">'2024'!$1:$6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6" i="1" l="1"/>
  <c r="I83" i="1"/>
  <c r="I40" i="1"/>
  <c r="I31" i="1"/>
  <c r="I41" i="1"/>
  <c r="I43" i="1"/>
  <c r="I45" i="1"/>
  <c r="I47" i="1"/>
  <c r="I54" i="1"/>
  <c r="I55" i="1"/>
  <c r="I56" i="1"/>
  <c r="I57" i="1"/>
  <c r="I58" i="1"/>
  <c r="I59" i="1"/>
  <c r="I60" i="1"/>
  <c r="I61" i="1"/>
  <c r="I62" i="1"/>
  <c r="I68" i="1"/>
  <c r="I69" i="1"/>
  <c r="I70" i="1"/>
  <c r="I71" i="1"/>
  <c r="I72" i="1"/>
  <c r="I73" i="1"/>
  <c r="I74" i="1"/>
  <c r="I75" i="1"/>
  <c r="I76" i="1"/>
  <c r="I82" i="1"/>
  <c r="I84" i="1"/>
  <c r="I85" i="1"/>
  <c r="I86" i="1"/>
  <c r="I87" i="1"/>
  <c r="I88" i="1"/>
  <c r="I89" i="1"/>
  <c r="I90" i="1"/>
  <c r="I97" i="1"/>
  <c r="I99" i="1"/>
  <c r="I101" i="1"/>
  <c r="I103" i="1"/>
  <c r="I91" i="1" l="1"/>
  <c r="I77" i="1"/>
  <c r="I104" i="1"/>
  <c r="I102" i="1"/>
  <c r="I100" i="1"/>
  <c r="I98" i="1"/>
  <c r="I48" i="1"/>
  <c r="I46" i="1"/>
  <c r="I44" i="1"/>
  <c r="I42" i="1"/>
  <c r="I33" i="1"/>
  <c r="I29" i="1"/>
  <c r="I27" i="1"/>
  <c r="I34" i="1"/>
  <c r="I32" i="1"/>
  <c r="I30" i="1"/>
  <c r="I28" i="1"/>
  <c r="I26" i="1"/>
  <c r="I63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I105" i="1" l="1"/>
  <c r="I49" i="1"/>
  <c r="I35" i="1"/>
  <c r="C20" i="1"/>
  <c r="D20" i="1"/>
  <c r="E20" i="1"/>
  <c r="H19" i="1" l="1"/>
  <c r="H18" i="1"/>
  <c r="H17" i="1"/>
  <c r="H16" i="1"/>
  <c r="H15" i="1"/>
  <c r="H14" i="1"/>
  <c r="H13" i="1"/>
  <c r="H12" i="1"/>
  <c r="H11" i="1"/>
  <c r="H20" i="1" l="1"/>
  <c r="B19" i="1" l="1"/>
  <c r="B18" i="1"/>
  <c r="B17" i="1"/>
  <c r="F17" i="1" s="1"/>
  <c r="B16" i="1"/>
  <c r="B15" i="1"/>
  <c r="F15" i="1" s="1"/>
  <c r="B14" i="1"/>
  <c r="B13" i="1"/>
  <c r="B12" i="1"/>
  <c r="B11" i="1"/>
  <c r="F14" i="1" l="1"/>
  <c r="F18" i="1"/>
  <c r="F12" i="1"/>
  <c r="F16" i="1"/>
  <c r="F13" i="1"/>
  <c r="F11" i="1"/>
  <c r="F19" i="1"/>
  <c r="I14" i="1"/>
  <c r="B20" i="1"/>
  <c r="I12" i="1" l="1"/>
  <c r="F20" i="1"/>
  <c r="G11" i="1" s="1"/>
  <c r="I19" i="1"/>
  <c r="I15" i="1"/>
  <c r="I13" i="1"/>
  <c r="I11" i="1"/>
  <c r="I16" i="1"/>
  <c r="I18" i="1"/>
  <c r="I17" i="1"/>
  <c r="G18" i="1" l="1"/>
  <c r="G13" i="1"/>
  <c r="G15" i="1"/>
  <c r="G14" i="1"/>
  <c r="G17" i="1"/>
  <c r="G19" i="1"/>
  <c r="G12" i="1"/>
  <c r="G16" i="1"/>
  <c r="I20" i="1"/>
  <c r="G20" i="1" l="1"/>
</calcChain>
</file>

<file path=xl/sharedStrings.xml><?xml version="1.0" encoding="utf-8"?>
<sst xmlns="http://schemas.openxmlformats.org/spreadsheetml/2006/main" count="159" uniqueCount="30">
  <si>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</si>
  <si>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</si>
  <si>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</si>
  <si>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</si>
  <si>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</si>
  <si>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</si>
  <si>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</si>
  <si>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</si>
  <si>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</si>
  <si>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</si>
  <si>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</si>
  <si>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</si>
  <si>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</si>
  <si>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</si>
  <si>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</si>
  <si>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</si>
  <si>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</si>
  <si>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</si>
  <si>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</si>
  <si>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</si>
  <si>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</si>
  <si>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Long term fixed income funds</t>
  </si>
  <si>
    <t>Short term fixed income funds</t>
  </si>
  <si>
    <t>Net savings and net assets in investment funds by category* 2024 (MSEK)</t>
  </si>
  <si>
    <t>sum</t>
  </si>
  <si>
    <t xml:space="preserve">*The purpose of the report is to try to show how fund savings are distributed between different categories of savings (directly in funds, via ISK, insurance shells, etc.).
</t>
  </si>
  <si>
    <t>Please note that the distribution into categories is made based on the fund companies' reporting supplemented with information from distributors (which is possible</t>
  </si>
  <si>
    <t xml:space="preserve">when the fund company and distributor are part of the same group). Under the category "Unallocated Nominee Accounts", fund savings are reported in cases where </t>
  </si>
  <si>
    <t>fund companies sell funds via an external distributor (financial company where the fund company cannot see the underlying savings categories).</t>
  </si>
  <si>
    <t>Unallocated Nominee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</si>
</sst>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Fill="1" applyBorder="1"/>
    <xf numFmtId="3" fontId="4" fillId="0" borderId="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  <xf numFmtId="3" fontId="4" fillId="0" borderId="4" xfId="0" applyNumberFormat="1" applyFont="1" applyBorder="1"/>
    <xf numFmtId="1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zoomScaleSheetLayoutView="100" workbookViewId="0">
      <selection activeCell="A7" sqref="A7"/>
    </sheetView>
  </sheetViews>
  <sheetFormatPr defaultColWidth="9.140625" defaultRowHeight="10.5" x14ac:dyDescent="0.15"/>
  <cols>
    <col min="1" max="1" width="40.140625" style="1" customWidth="1"/>
    <col min="2" max="5" width="10.85546875" style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9" ht="10.5" customHeight="1" x14ac:dyDescent="0.15"/>
    <row r="2" spans="1:9" ht="10.5" customHeight="1" x14ac:dyDescent="0.15">
      <c r="A2" s="2"/>
    </row>
    <row r="3" spans="1:9" ht="10.5" customHeight="1" x14ac:dyDescent="0.15">
      <c r="A3" s="2"/>
    </row>
    <row r="4" spans="1:9" ht="10.5" customHeight="1" x14ac:dyDescent="0.15">
      <c r="A4" s="2"/>
    </row>
    <row r="5" spans="1:9" ht="10.5" customHeight="1" x14ac:dyDescent="0.15">
      <c r="A5" s="2"/>
      <c r="B5" s="2"/>
    </row>
    <row r="6" spans="1:9" ht="18.75" customHeight="1" x14ac:dyDescent="0.2">
      <c r="A6" s="3" t="s">
        <v>23</v>
      </c>
      <c r="B6" s="2"/>
      <c r="D6" s="4"/>
      <c r="E6" s="4"/>
    </row>
    <row r="7" spans="1:9" ht="10.5" customHeight="1" x14ac:dyDescent="0.15"/>
    <row r="8" spans="1:9" ht="12" customHeight="1" x14ac:dyDescent="0.15">
      <c r="A8" s="4" t="s">
        <v>1</v>
      </c>
    </row>
    <row r="9" spans="1:9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9" ht="12" customHeight="1" x14ac:dyDescent="0.15">
      <c r="A10" s="9"/>
      <c r="B10" s="10"/>
      <c r="C10" s="10"/>
      <c r="D10" s="10"/>
      <c r="E10" s="11"/>
      <c r="F10" s="11" t="s">
        <v>24</v>
      </c>
      <c r="G10" s="12" t="s">
        <v>0</v>
      </c>
      <c r="H10" s="29">
        <v>45657</v>
      </c>
      <c r="I10" s="10" t="s">
        <v>0</v>
      </c>
    </row>
    <row r="11" spans="1:9" ht="12" customHeight="1" x14ac:dyDescent="0.15">
      <c r="A11" s="13" t="s">
        <v>2</v>
      </c>
      <c r="B11" s="24">
        <f>+B26+B40+B54+B68+B82+B96</f>
        <v>-2846.8400000000029</v>
      </c>
      <c r="C11" s="24">
        <f t="shared" ref="C11:E11" si="0">+C26+C40+C54+C68+C82+C96</f>
        <v>-2604.0500000000047</v>
      </c>
      <c r="D11" s="24">
        <f t="shared" si="0"/>
        <v>-4922.6099999999997</v>
      </c>
      <c r="E11" s="24">
        <f t="shared" si="0"/>
        <v>-9229.2899999999972</v>
      </c>
      <c r="F11" s="26">
        <f>SUM(B11:E11)</f>
        <v>-19602.790000000005</v>
      </c>
      <c r="G11" s="14">
        <f>F11/$F$20*100</f>
        <v>-9.709155113673571</v>
      </c>
      <c r="H11" s="24">
        <f>+H26+H40+H54+H68+H82+H96</f>
        <v>602904.44013357267</v>
      </c>
      <c r="I11" s="31">
        <f>H11/$H$20*100</f>
        <v>7.3246709546235618</v>
      </c>
    </row>
    <row r="12" spans="1:9" ht="12" customHeight="1" x14ac:dyDescent="0.15">
      <c r="A12" s="15" t="s">
        <v>20</v>
      </c>
      <c r="B12" s="24">
        <f t="shared" ref="B12:E19" si="1">+B27+B41+B55+B69+B83+B97</f>
        <v>10436.469999999999</v>
      </c>
      <c r="C12" s="24">
        <f t="shared" si="1"/>
        <v>5805.7999999999975</v>
      </c>
      <c r="D12" s="24">
        <f t="shared" si="1"/>
        <v>8729.840000000002</v>
      </c>
      <c r="E12" s="24">
        <f t="shared" si="1"/>
        <v>22625.229999999992</v>
      </c>
      <c r="F12" s="26">
        <f t="shared" ref="F12:F19" si="2">SUM(B12:E12)</f>
        <v>47597.34</v>
      </c>
      <c r="G12" s="14">
        <f>F12/$F$20*100</f>
        <v>23.574703246744953</v>
      </c>
      <c r="H12" s="24">
        <f t="shared" ref="H12" si="3">+H27+H41+H55+H69+H83+H97</f>
        <v>772061.32760266692</v>
      </c>
      <c r="I12" s="31">
        <f>H12/$H$20*100</f>
        <v>9.3797537470888113</v>
      </c>
    </row>
    <row r="13" spans="1:9" ht="12" customHeight="1" x14ac:dyDescent="0.15">
      <c r="A13" s="15" t="s">
        <v>3</v>
      </c>
      <c r="B13" s="24">
        <f t="shared" si="1"/>
        <v>-1270.42</v>
      </c>
      <c r="C13" s="24">
        <f t="shared" si="1"/>
        <v>-1159.0499999999997</v>
      </c>
      <c r="D13" s="24">
        <f t="shared" si="1"/>
        <v>-1240.1999999999998</v>
      </c>
      <c r="E13" s="24">
        <f t="shared" si="1"/>
        <v>-1909.6700000000003</v>
      </c>
      <c r="F13" s="26">
        <f t="shared" si="2"/>
        <v>-5579.34</v>
      </c>
      <c r="G13" s="14">
        <f>F13/$F$20*100</f>
        <v>-2.7634167122090014</v>
      </c>
      <c r="H13" s="24">
        <f t="shared" ref="H13" si="4">+H28+H42+H56+H70+H84+H98</f>
        <v>175604.47733072905</v>
      </c>
      <c r="I13" s="31">
        <f>H13/$H$20*100</f>
        <v>2.1334144003339515</v>
      </c>
    </row>
    <row r="14" spans="1:9" ht="12" customHeight="1" x14ac:dyDescent="0.15">
      <c r="A14" s="15" t="s">
        <v>4</v>
      </c>
      <c r="B14" s="24">
        <f t="shared" si="1"/>
        <v>4101.8599999999997</v>
      </c>
      <c r="C14" s="24">
        <f t="shared" si="1"/>
        <v>10616.639999999998</v>
      </c>
      <c r="D14" s="24">
        <f t="shared" si="1"/>
        <v>13416.359999999999</v>
      </c>
      <c r="E14" s="24">
        <f t="shared" si="1"/>
        <v>7143.3399999999992</v>
      </c>
      <c r="F14" s="26">
        <f t="shared" si="2"/>
        <v>35278.19999999999</v>
      </c>
      <c r="G14" s="14">
        <f>F14/$F$20*100</f>
        <v>17.473100305170782</v>
      </c>
      <c r="H14" s="24">
        <f t="shared" ref="H14" si="5">+H29+H43+H57+H71+H85+H99</f>
        <v>1883437.3400000003</v>
      </c>
      <c r="I14" s="31">
        <f>H14/$H$20*100</f>
        <v>22.881833107905255</v>
      </c>
    </row>
    <row r="15" spans="1:9" ht="12" customHeight="1" x14ac:dyDescent="0.15">
      <c r="A15" s="15" t="s">
        <v>18</v>
      </c>
      <c r="B15" s="24">
        <f t="shared" si="1"/>
        <v>-10013.139999999998</v>
      </c>
      <c r="C15" s="24">
        <f t="shared" si="1"/>
        <v>3856.920000000001</v>
      </c>
      <c r="D15" s="24">
        <f t="shared" si="1"/>
        <v>-10221.189999999999</v>
      </c>
      <c r="E15" s="24">
        <f t="shared" si="1"/>
        <v>33560.909999999996</v>
      </c>
      <c r="F15" s="26">
        <f>SUM(B15:E15)</f>
        <v>17183.5</v>
      </c>
      <c r="G15" s="14">
        <f t="shared" ref="G15:G16" si="6">F15/$F$20*100</f>
        <v>8.5108939541672264</v>
      </c>
      <c r="H15" s="24">
        <f t="shared" ref="H15" si="7">+H30+H44+H58+H72+H86+H100</f>
        <v>2692680.0100000002</v>
      </c>
      <c r="I15" s="31">
        <f t="shared" ref="I15:I16" si="8">H15/$H$20*100</f>
        <v>32.713302053262169</v>
      </c>
    </row>
    <row r="16" spans="1:9" ht="12" customHeight="1" x14ac:dyDescent="0.15">
      <c r="A16" s="15" t="s">
        <v>29</v>
      </c>
      <c r="B16" s="24">
        <f t="shared" si="1"/>
        <v>14230.730000000001</v>
      </c>
      <c r="C16" s="24">
        <f t="shared" si="1"/>
        <v>22212.949999999997</v>
      </c>
      <c r="D16" s="24">
        <f t="shared" si="1"/>
        <v>12281.740000000003</v>
      </c>
      <c r="E16" s="24">
        <f t="shared" si="1"/>
        <v>8727.380000000001</v>
      </c>
      <c r="F16" s="26">
        <f t="shared" si="2"/>
        <v>57452.800000000003</v>
      </c>
      <c r="G16" s="14">
        <f t="shared" si="6"/>
        <v>28.456058903598151</v>
      </c>
      <c r="H16" s="24">
        <f t="shared" ref="H16" si="9">+H31+H45+H59+H73+H87+H101</f>
        <v>878295.28306473279</v>
      </c>
      <c r="I16" s="31">
        <f t="shared" si="8"/>
        <v>10.670387413338432</v>
      </c>
    </row>
    <row r="17" spans="1:9" ht="12" customHeight="1" x14ac:dyDescent="0.15">
      <c r="A17" s="15" t="s">
        <v>5</v>
      </c>
      <c r="B17" s="24">
        <f t="shared" si="1"/>
        <v>486.72000000000008</v>
      </c>
      <c r="C17" s="24">
        <f t="shared" si="1"/>
        <v>1058.4099999999996</v>
      </c>
      <c r="D17" s="24">
        <f t="shared" si="1"/>
        <v>-917.95999999999947</v>
      </c>
      <c r="E17" s="24">
        <f t="shared" si="1"/>
        <v>535.17000000000007</v>
      </c>
      <c r="F17" s="26">
        <f>SUM(B17:E17)</f>
        <v>1162.3400000000001</v>
      </c>
      <c r="G17" s="14">
        <f>F17/$F$20*100</f>
        <v>0.57570067091609589</v>
      </c>
      <c r="H17" s="24">
        <f t="shared" ref="H17" si="10">+H32+H46+H60+H74+H88+H102</f>
        <v>143261.95000000001</v>
      </c>
      <c r="I17" s="31">
        <f>H17/$H$20*100</f>
        <v>1.7404858452116418</v>
      </c>
    </row>
    <row r="18" spans="1:9" ht="12" customHeight="1" x14ac:dyDescent="0.15">
      <c r="A18" s="15" t="s">
        <v>6</v>
      </c>
      <c r="B18" s="24">
        <f t="shared" si="1"/>
        <v>8888.5700000000052</v>
      </c>
      <c r="C18" s="24">
        <f t="shared" si="1"/>
        <v>9432.7500000000127</v>
      </c>
      <c r="D18" s="24">
        <f t="shared" si="1"/>
        <v>10556.359999999993</v>
      </c>
      <c r="E18" s="24">
        <f t="shared" si="1"/>
        <v>15436.299999999979</v>
      </c>
      <c r="F18" s="26">
        <f t="shared" si="2"/>
        <v>44313.979999999989</v>
      </c>
      <c r="G18" s="14">
        <f>F18/$F$20*100</f>
        <v>21.948472922692542</v>
      </c>
      <c r="H18" s="24">
        <f t="shared" ref="H18" si="11">+H33+H47+H61+H75+H89+H103</f>
        <v>912634.07186829904</v>
      </c>
      <c r="I18" s="31">
        <f>H18/$H$20*100</f>
        <v>11.087568499134898</v>
      </c>
    </row>
    <row r="19" spans="1:9" ht="12" customHeight="1" x14ac:dyDescent="0.15">
      <c r="A19" s="16" t="s">
        <v>7</v>
      </c>
      <c r="B19" s="27">
        <f t="shared" si="1"/>
        <v>773.65999999999872</v>
      </c>
      <c r="C19" s="27">
        <f t="shared" si="1"/>
        <v>5075.7399999999971</v>
      </c>
      <c r="D19" s="27">
        <f t="shared" si="1"/>
        <v>7752.659999999998</v>
      </c>
      <c r="E19" s="27">
        <f t="shared" si="1"/>
        <v>10491.970000000003</v>
      </c>
      <c r="F19" s="28">
        <f t="shared" si="2"/>
        <v>24094.03</v>
      </c>
      <c r="G19" s="14">
        <f>F19/$F$20*100</f>
        <v>11.933641822592822</v>
      </c>
      <c r="H19" s="27">
        <f t="shared" ref="H19" si="12">+H34+H48+H62+H76+H90+H104</f>
        <v>170268.1899999998</v>
      </c>
      <c r="I19" s="17">
        <f>H19/$H$20*100</f>
        <v>2.0685839791012626</v>
      </c>
    </row>
    <row r="20" spans="1:9" ht="12" customHeight="1" x14ac:dyDescent="0.15">
      <c r="A20" s="18" t="s">
        <v>8</v>
      </c>
      <c r="B20" s="20">
        <f>SUM(B11:B19)</f>
        <v>24787.610000000004</v>
      </c>
      <c r="C20" s="20">
        <f>SUM(C11:C19)</f>
        <v>54296.11</v>
      </c>
      <c r="D20" s="20">
        <f>SUM(D11:D19)</f>
        <v>35435</v>
      </c>
      <c r="E20" s="20">
        <f>SUM(E11:E19)</f>
        <v>87381.339999999967</v>
      </c>
      <c r="F20" s="20">
        <f t="shared" ref="F20" si="13">SUM(B20:E20)</f>
        <v>201900.05999999997</v>
      </c>
      <c r="G20" s="19">
        <f>SUM(G11:G19)</f>
        <v>100</v>
      </c>
      <c r="H20" s="20">
        <f>SUM(H11:H19)</f>
        <v>8231147.0900000017</v>
      </c>
      <c r="I20" s="20">
        <f>SUM(I11:I19)</f>
        <v>99.999999999999986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>
      <c r="A22" s="23"/>
      <c r="B22" s="23"/>
      <c r="C22" s="23"/>
      <c r="D22" s="23"/>
      <c r="E22" s="23"/>
      <c r="F22" s="23"/>
      <c r="G22" s="23"/>
      <c r="H22" s="23"/>
    </row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24</v>
      </c>
      <c r="G25" s="12" t="s">
        <v>0</v>
      </c>
      <c r="H25" s="29">
        <v>45657</v>
      </c>
      <c r="I25" s="10" t="s">
        <v>0</v>
      </c>
    </row>
    <row r="26" spans="1:9" ht="12" customHeight="1" x14ac:dyDescent="0.15">
      <c r="A26" s="13" t="s">
        <v>2</v>
      </c>
      <c r="B26" s="24">
        <v>-948.4900000000016</v>
      </c>
      <c r="C26" s="24">
        <v>-1794.3100000000049</v>
      </c>
      <c r="D26" s="25">
        <v>-4864.2700000000004</v>
      </c>
      <c r="E26" s="25">
        <v>-11009.669999999998</v>
      </c>
      <c r="F26" s="26">
        <v>-948.4900000000016</v>
      </c>
      <c r="G26" s="14">
        <v>-2.7191395903731452</v>
      </c>
      <c r="H26" s="25">
        <v>419761.99427384289</v>
      </c>
      <c r="I26" s="31">
        <f>H26/$H$35*100</f>
        <v>7.4722712874781507</v>
      </c>
    </row>
    <row r="27" spans="1:9" ht="12" customHeight="1" x14ac:dyDescent="0.15">
      <c r="A27" s="15" t="s">
        <v>20</v>
      </c>
      <c r="B27" s="24">
        <v>9851.4500000000007</v>
      </c>
      <c r="C27" s="24">
        <v>4982.5599999999977</v>
      </c>
      <c r="D27" s="25">
        <v>6161.1100000000006</v>
      </c>
      <c r="E27" s="25">
        <v>13085.369999999995</v>
      </c>
      <c r="F27" s="26">
        <v>9851.4500000000007</v>
      </c>
      <c r="G27" s="14">
        <v>28.242224712523566</v>
      </c>
      <c r="H27" s="25">
        <v>397115.57217150682</v>
      </c>
      <c r="I27" s="31">
        <f t="shared" ref="I27:I34" si="14">H27/$H$35*100</f>
        <v>7.0691375785006754</v>
      </c>
    </row>
    <row r="28" spans="1:9" ht="12" customHeight="1" x14ac:dyDescent="0.15">
      <c r="A28" s="15" t="s">
        <v>3</v>
      </c>
      <c r="B28" s="24">
        <v>-938.16000000000008</v>
      </c>
      <c r="C28" s="24">
        <v>-925.75999999999988</v>
      </c>
      <c r="D28" s="25">
        <v>-936.16000000000008</v>
      </c>
      <c r="E28" s="25">
        <v>-1406.1999999999998</v>
      </c>
      <c r="F28" s="26">
        <v>-938.16000000000008</v>
      </c>
      <c r="G28" s="14">
        <v>-2.6895254542530398</v>
      </c>
      <c r="H28" s="25">
        <v>107806.70189281998</v>
      </c>
      <c r="I28" s="31">
        <f t="shared" si="14"/>
        <v>1.9190897083119587</v>
      </c>
    </row>
    <row r="29" spans="1:9" ht="10.5" customHeight="1" x14ac:dyDescent="0.15">
      <c r="A29" s="15" t="s">
        <v>4</v>
      </c>
      <c r="B29" s="24">
        <v>4432.07</v>
      </c>
      <c r="C29" s="24">
        <v>8908.57</v>
      </c>
      <c r="D29" s="25">
        <v>8533.73</v>
      </c>
      <c r="E29" s="25">
        <v>4746.68</v>
      </c>
      <c r="F29" s="26">
        <v>4432.07</v>
      </c>
      <c r="G29" s="14">
        <v>12.705897799982166</v>
      </c>
      <c r="H29" s="25">
        <v>1209980.46</v>
      </c>
      <c r="I29" s="31">
        <f t="shared" si="14"/>
        <v>21.539115910930402</v>
      </c>
    </row>
    <row r="30" spans="1:9" ht="12" customHeight="1" x14ac:dyDescent="0.15">
      <c r="A30" s="15" t="s">
        <v>18</v>
      </c>
      <c r="B30" s="24">
        <v>-3407.2799999999988</v>
      </c>
      <c r="C30" s="24">
        <v>3517.8000000000011</v>
      </c>
      <c r="D30" s="25">
        <v>-7266.4099999999989</v>
      </c>
      <c r="E30" s="25">
        <v>2278.2300000000014</v>
      </c>
      <c r="F30" s="26">
        <v>-3407.2799999999988</v>
      </c>
      <c r="G30" s="14">
        <v>-9.7680206891865922</v>
      </c>
      <c r="H30" s="25">
        <v>2098721.81</v>
      </c>
      <c r="I30" s="31">
        <f t="shared" si="14"/>
        <v>37.359787058369228</v>
      </c>
    </row>
    <row r="31" spans="1:9" ht="12" customHeight="1" x14ac:dyDescent="0.15">
      <c r="A31" s="15" t="s">
        <v>29</v>
      </c>
      <c r="B31" s="24">
        <v>19193.36</v>
      </c>
      <c r="C31" s="24">
        <v>17350.57</v>
      </c>
      <c r="D31" s="25">
        <v>8161.25</v>
      </c>
      <c r="E31" s="25">
        <v>9082.07</v>
      </c>
      <c r="F31" s="26">
        <v>19193.36</v>
      </c>
      <c r="G31" s="14">
        <v>55.023695609109446</v>
      </c>
      <c r="H31" s="25">
        <v>650546.02738627535</v>
      </c>
      <c r="I31" s="31">
        <f t="shared" si="14"/>
        <v>11.580506258149233</v>
      </c>
    </row>
    <row r="32" spans="1:9" ht="12" customHeight="1" x14ac:dyDescent="0.15">
      <c r="A32" s="15" t="s">
        <v>5</v>
      </c>
      <c r="B32" s="24">
        <v>263.80999999999995</v>
      </c>
      <c r="C32" s="24">
        <v>-445.64000000000033</v>
      </c>
      <c r="D32" s="25">
        <v>-960.44999999999982</v>
      </c>
      <c r="E32" s="25">
        <v>1126.98</v>
      </c>
      <c r="F32" s="26">
        <v>263.80999999999995</v>
      </c>
      <c r="G32" s="14">
        <v>0.75629286058507528</v>
      </c>
      <c r="H32" s="25">
        <v>71211.91</v>
      </c>
      <c r="I32" s="31">
        <f t="shared" si="14"/>
        <v>1.2676581436106364</v>
      </c>
    </row>
    <row r="33" spans="1:9" ht="12" customHeight="1" x14ac:dyDescent="0.15">
      <c r="A33" s="15" t="s">
        <v>6</v>
      </c>
      <c r="B33" s="24">
        <v>6591.0200000000041</v>
      </c>
      <c r="C33" s="24">
        <v>3293.0900000000038</v>
      </c>
      <c r="D33" s="25">
        <v>5021.3199999999924</v>
      </c>
      <c r="E33" s="25">
        <v>4345.6399999999776</v>
      </c>
      <c r="F33" s="26">
        <v>6591.0200000000041</v>
      </c>
      <c r="G33" s="14">
        <v>18.89519491290492</v>
      </c>
      <c r="H33" s="25">
        <v>568388.93427555519</v>
      </c>
      <c r="I33" s="31">
        <f t="shared" si="14"/>
        <v>10.118010614693219</v>
      </c>
    </row>
    <row r="34" spans="1:9" ht="10.5" customHeight="1" x14ac:dyDescent="0.15">
      <c r="A34" s="16" t="s">
        <v>7</v>
      </c>
      <c r="B34" s="27">
        <v>-155.79000000000087</v>
      </c>
      <c r="C34" s="27">
        <v>415.97999999999774</v>
      </c>
      <c r="D34" s="32">
        <v>2278.2699999999977</v>
      </c>
      <c r="E34" s="32">
        <v>135.79999999999745</v>
      </c>
      <c r="F34" s="28">
        <v>-155.79000000000087</v>
      </c>
      <c r="G34" s="14">
        <v>-0.44662016129240573</v>
      </c>
      <c r="H34" s="30">
        <v>94062.339999999851</v>
      </c>
      <c r="I34" s="17">
        <f t="shared" si="14"/>
        <v>1.6744234399564948</v>
      </c>
    </row>
    <row r="35" spans="1:9" ht="12" customHeight="1" x14ac:dyDescent="0.15">
      <c r="A35" s="18" t="s">
        <v>8</v>
      </c>
      <c r="B35" s="20">
        <v>34881.990000000005</v>
      </c>
      <c r="C35" s="20">
        <v>35302.859999999993</v>
      </c>
      <c r="D35" s="20">
        <v>16128.389999999989</v>
      </c>
      <c r="E35" s="20">
        <v>22384.899999999972</v>
      </c>
      <c r="F35" s="20">
        <v>34881.990000000005</v>
      </c>
      <c r="G35" s="19">
        <v>100</v>
      </c>
      <c r="H35" s="20">
        <v>5617595.75</v>
      </c>
      <c r="I35" s="20">
        <f>SUM(I26:I34)</f>
        <v>100</v>
      </c>
    </row>
    <row r="36" spans="1:9" ht="12" customHeight="1" x14ac:dyDescent="0.15">
      <c r="A36" s="23"/>
    </row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24</v>
      </c>
      <c r="G39" s="12" t="s">
        <v>0</v>
      </c>
      <c r="H39" s="29">
        <v>45657</v>
      </c>
      <c r="I39" s="10" t="s">
        <v>0</v>
      </c>
    </row>
    <row r="40" spans="1:9" ht="12" customHeight="1" x14ac:dyDescent="0.15">
      <c r="A40" s="13" t="s">
        <v>2</v>
      </c>
      <c r="B40" s="24">
        <v>-1024.3500000000004</v>
      </c>
      <c r="C40" s="24">
        <v>-1360.4100000000017</v>
      </c>
      <c r="D40" s="25">
        <v>-784.2599999999984</v>
      </c>
      <c r="E40" s="25">
        <v>-1125.119999999999</v>
      </c>
      <c r="F40" s="26">
        <v>-1024.3500000000004</v>
      </c>
      <c r="G40" s="14">
        <v>13.13350052310912</v>
      </c>
      <c r="H40" s="25">
        <v>105292.56329443684</v>
      </c>
      <c r="I40" s="31">
        <f>+H40/$H$49*100</f>
        <v>6.7462515290941232</v>
      </c>
    </row>
    <row r="41" spans="1:9" ht="12" customHeight="1" x14ac:dyDescent="0.15">
      <c r="A41" s="15" t="s">
        <v>20</v>
      </c>
      <c r="B41" s="24">
        <v>71.149999999999636</v>
      </c>
      <c r="C41" s="24">
        <v>-267.11999999999898</v>
      </c>
      <c r="D41" s="25">
        <v>798.21999999999935</v>
      </c>
      <c r="E41" s="25">
        <v>2469.9399999999987</v>
      </c>
      <c r="F41" s="26">
        <v>71.149999999999636</v>
      </c>
      <c r="G41" s="14">
        <v>-0.91223562475639064</v>
      </c>
      <c r="H41" s="25">
        <v>299348.40764932736</v>
      </c>
      <c r="I41" s="31">
        <f t="shared" ref="I41:I48" si="15">+H41/$H$49*100</f>
        <v>19.179698828196969</v>
      </c>
    </row>
    <row r="42" spans="1:9" ht="12" customHeight="1" x14ac:dyDescent="0.15">
      <c r="A42" s="15" t="s">
        <v>3</v>
      </c>
      <c r="B42" s="24">
        <v>-202.73000000000002</v>
      </c>
      <c r="C42" s="24">
        <v>-153.33000000000004</v>
      </c>
      <c r="D42" s="25">
        <v>-309.40999999999997</v>
      </c>
      <c r="E42" s="25">
        <v>-464.22000000000014</v>
      </c>
      <c r="F42" s="26">
        <v>-202.73000000000002</v>
      </c>
      <c r="G42" s="14">
        <v>2.599262518719101</v>
      </c>
      <c r="H42" s="25">
        <v>64056.846769410637</v>
      </c>
      <c r="I42" s="31">
        <f t="shared" si="15"/>
        <v>4.1042176859029595</v>
      </c>
    </row>
    <row r="43" spans="1:9" ht="12" customHeight="1" x14ac:dyDescent="0.15">
      <c r="A43" s="15" t="s">
        <v>4</v>
      </c>
      <c r="B43" s="24">
        <v>-2287.9600000000009</v>
      </c>
      <c r="C43" s="24">
        <v>-1934.0100000000002</v>
      </c>
      <c r="D43" s="25">
        <v>-619.25000000000091</v>
      </c>
      <c r="E43" s="25">
        <v>-1417.42</v>
      </c>
      <c r="F43" s="26">
        <v>-2287.9600000000009</v>
      </c>
      <c r="G43" s="14">
        <v>29.334625720557177</v>
      </c>
      <c r="H43" s="25">
        <v>504309.07</v>
      </c>
      <c r="I43" s="31">
        <f t="shared" si="15"/>
        <v>32.311834076161119</v>
      </c>
    </row>
    <row r="44" spans="1:9" ht="12" customHeight="1" x14ac:dyDescent="0.15">
      <c r="A44" s="15" t="s">
        <v>18</v>
      </c>
      <c r="B44" s="24">
        <v>-3048.73</v>
      </c>
      <c r="C44" s="24">
        <v>347.52999999999975</v>
      </c>
      <c r="D44" s="25">
        <v>-2511.12</v>
      </c>
      <c r="E44" s="25">
        <v>4540.2299999999996</v>
      </c>
      <c r="F44" s="26">
        <v>-3048.73</v>
      </c>
      <c r="G44" s="14">
        <v>39.088687508974914</v>
      </c>
      <c r="H44" s="25">
        <v>416437.18</v>
      </c>
      <c r="I44" s="31">
        <f t="shared" si="15"/>
        <v>26.681751060524135</v>
      </c>
    </row>
    <row r="45" spans="1:9" ht="12" customHeight="1" x14ac:dyDescent="0.15">
      <c r="A45" s="15" t="s">
        <v>29</v>
      </c>
      <c r="B45" s="24">
        <v>-345.5</v>
      </c>
      <c r="C45" s="24">
        <v>-247.94999999999982</v>
      </c>
      <c r="D45" s="25">
        <v>507.28999999999996</v>
      </c>
      <c r="E45" s="25">
        <v>248.70000000000027</v>
      </c>
      <c r="F45" s="26">
        <v>-345.5</v>
      </c>
      <c r="G45" s="14">
        <v>4.4297597800890314</v>
      </c>
      <c r="H45" s="25">
        <v>78271.959643936148</v>
      </c>
      <c r="I45" s="31">
        <f t="shared" si="15"/>
        <v>5.015001163534186</v>
      </c>
    </row>
    <row r="46" spans="1:9" ht="10.5" customHeight="1" x14ac:dyDescent="0.15">
      <c r="A46" s="15" t="s">
        <v>5</v>
      </c>
      <c r="B46" s="24">
        <v>107.09000000000003</v>
      </c>
      <c r="C46" s="24">
        <v>323.78000000000003</v>
      </c>
      <c r="D46" s="25">
        <v>49.960000000000008</v>
      </c>
      <c r="E46" s="25">
        <v>-131.76000000000005</v>
      </c>
      <c r="F46" s="26">
        <v>107.09000000000003</v>
      </c>
      <c r="G46" s="14">
        <v>-1.3730332123002447</v>
      </c>
      <c r="H46" s="25">
        <v>35063.599999999999</v>
      </c>
      <c r="I46" s="31">
        <f t="shared" si="15"/>
        <v>2.2465771343610434</v>
      </c>
    </row>
    <row r="47" spans="1:9" ht="12" customHeight="1" x14ac:dyDescent="0.15">
      <c r="A47" s="15" t="s">
        <v>6</v>
      </c>
      <c r="B47" s="24">
        <v>-432.83999999999833</v>
      </c>
      <c r="C47" s="24">
        <v>-411.08999999999924</v>
      </c>
      <c r="D47" s="25">
        <v>600.9900000000016</v>
      </c>
      <c r="E47" s="25">
        <v>-652.96000000000049</v>
      </c>
      <c r="F47" s="26">
        <v>-432.83999999999833</v>
      </c>
      <c r="G47" s="14">
        <v>5.5495722813711401</v>
      </c>
      <c r="H47" s="25">
        <v>47093.202642889039</v>
      </c>
      <c r="I47" s="31">
        <f t="shared" si="15"/>
        <v>3.0173317126976569</v>
      </c>
    </row>
    <row r="48" spans="1:9" ht="12" customHeight="1" x14ac:dyDescent="0.15">
      <c r="A48" s="16" t="s">
        <v>7</v>
      </c>
      <c r="B48" s="27">
        <v>-635.65</v>
      </c>
      <c r="C48" s="27">
        <v>-124.69999999999982</v>
      </c>
      <c r="D48" s="32">
        <v>-209.11999999999995</v>
      </c>
      <c r="E48" s="32">
        <v>414.92000000000053</v>
      </c>
      <c r="F48" s="28">
        <v>-635.65</v>
      </c>
      <c r="G48" s="14">
        <v>8.1498605042361589</v>
      </c>
      <c r="H48" s="30">
        <v>10883.729999999981</v>
      </c>
      <c r="I48" s="17">
        <f t="shared" si="15"/>
        <v>0.69733680952780885</v>
      </c>
    </row>
    <row r="49" spans="1:9" ht="12" customHeight="1" x14ac:dyDescent="0.15">
      <c r="A49" s="18" t="s">
        <v>8</v>
      </c>
      <c r="B49" s="20">
        <v>-7799.5199999999995</v>
      </c>
      <c r="C49" s="20">
        <v>-3827.2999999999997</v>
      </c>
      <c r="D49" s="20">
        <v>-2476.699999999998</v>
      </c>
      <c r="E49" s="20">
        <v>3882.3099999999986</v>
      </c>
      <c r="F49" s="20">
        <v>-7799.5199999999995</v>
      </c>
      <c r="G49" s="19">
        <v>100.00000000000001</v>
      </c>
      <c r="H49" s="20">
        <v>1560756.56</v>
      </c>
      <c r="I49" s="20">
        <f>SUM(I40:I48)</f>
        <v>100</v>
      </c>
    </row>
    <row r="50" spans="1:9" ht="12" customHeight="1" x14ac:dyDescent="0.15">
      <c r="A50" s="23"/>
    </row>
    <row r="51" spans="1:9" ht="12" customHeight="1" x14ac:dyDescent="0.15">
      <c r="A51" s="4" t="s">
        <v>21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24</v>
      </c>
      <c r="G53" s="12" t="s">
        <v>0</v>
      </c>
      <c r="H53" s="29">
        <v>45657</v>
      </c>
      <c r="I53" s="10" t="s">
        <v>0</v>
      </c>
    </row>
    <row r="54" spans="1:9" ht="12" customHeight="1" x14ac:dyDescent="0.15">
      <c r="A54" s="13" t="s">
        <v>2</v>
      </c>
      <c r="B54" s="24">
        <v>390.27</v>
      </c>
      <c r="C54" s="24">
        <v>549.31000000000131</v>
      </c>
      <c r="D54" s="25">
        <v>630.78999999999905</v>
      </c>
      <c r="E54" s="25">
        <v>2678.01</v>
      </c>
      <c r="F54" s="26">
        <v>390.27</v>
      </c>
      <c r="G54" s="14">
        <v>3.7641709796084499</v>
      </c>
      <c r="H54" s="25">
        <v>27841.93161760697</v>
      </c>
      <c r="I54" s="31">
        <f>+H54/$H$63*100</f>
        <v>4.1035887989359132</v>
      </c>
    </row>
    <row r="55" spans="1:9" ht="12" customHeight="1" x14ac:dyDescent="0.15">
      <c r="A55" s="15" t="s">
        <v>20</v>
      </c>
      <c r="B55" s="24">
        <v>1680.8700000000003</v>
      </c>
      <c r="C55" s="24">
        <v>950.6299999999992</v>
      </c>
      <c r="D55" s="25">
        <v>928.05000000000018</v>
      </c>
      <c r="E55" s="25">
        <v>1511.54</v>
      </c>
      <c r="F55" s="26">
        <v>1680.8700000000003</v>
      </c>
      <c r="G55" s="14">
        <v>16.212063634136513</v>
      </c>
      <c r="H55" s="25">
        <v>59302.372302683114</v>
      </c>
      <c r="I55" s="31">
        <f t="shared" ref="I55:I62" si="16">+H55/$H$63*100</f>
        <v>8.7405052951758542</v>
      </c>
    </row>
    <row r="56" spans="1:9" ht="12" customHeight="1" x14ac:dyDescent="0.15">
      <c r="A56" s="15" t="s">
        <v>3</v>
      </c>
      <c r="B56" s="24">
        <v>-59.900000000000006</v>
      </c>
      <c r="C56" s="24">
        <v>-43.82</v>
      </c>
      <c r="D56" s="25">
        <v>-4.5600000000000023</v>
      </c>
      <c r="E56" s="25">
        <v>-25.709999999999994</v>
      </c>
      <c r="F56" s="26">
        <v>-59.900000000000006</v>
      </c>
      <c r="G56" s="14">
        <v>-0.5777380830669695</v>
      </c>
      <c r="H56" s="25">
        <v>1813.2011501120114</v>
      </c>
      <c r="I56" s="31">
        <f t="shared" si="16"/>
        <v>0.26724553569092102</v>
      </c>
    </row>
    <row r="57" spans="1:9" ht="12" customHeight="1" x14ac:dyDescent="0.15">
      <c r="A57" s="15" t="s">
        <v>4</v>
      </c>
      <c r="B57" s="24">
        <v>4599.7300000000005</v>
      </c>
      <c r="C57" s="24">
        <v>3875.5499999999993</v>
      </c>
      <c r="D57" s="25">
        <v>3371.1099999999997</v>
      </c>
      <c r="E57" s="25">
        <v>3707.119999999999</v>
      </c>
      <c r="F57" s="26">
        <v>4599.7300000000005</v>
      </c>
      <c r="G57" s="14">
        <v>44.364594204100698</v>
      </c>
      <c r="H57" s="25">
        <v>102542.81</v>
      </c>
      <c r="I57" s="31">
        <f t="shared" si="16"/>
        <v>15.113661376185112</v>
      </c>
    </row>
    <row r="58" spans="1:9" ht="12" customHeight="1" x14ac:dyDescent="0.15">
      <c r="A58" s="15" t="s">
        <v>18</v>
      </c>
      <c r="B58" s="24">
        <v>-2129.56</v>
      </c>
      <c r="C58" s="24">
        <v>75.479999999999961</v>
      </c>
      <c r="D58" s="25">
        <v>-648.85</v>
      </c>
      <c r="E58" s="25">
        <v>26558.649999999998</v>
      </c>
      <c r="F58" s="26">
        <v>-2129.56</v>
      </c>
      <c r="G58" s="14">
        <v>-20.539698032989907</v>
      </c>
      <c r="H58" s="25">
        <v>166190.35</v>
      </c>
      <c r="I58" s="31">
        <f t="shared" si="16"/>
        <v>24.494595709730266</v>
      </c>
    </row>
    <row r="59" spans="1:9" ht="12" customHeight="1" x14ac:dyDescent="0.15">
      <c r="A59" s="15" t="s">
        <v>29</v>
      </c>
      <c r="B59" s="24">
        <v>-1226.0999999999995</v>
      </c>
      <c r="C59" s="24">
        <v>1324.4499999999998</v>
      </c>
      <c r="D59" s="25">
        <v>2425.0400000000009</v>
      </c>
      <c r="E59" s="25">
        <v>1378.130000000001</v>
      </c>
      <c r="F59" s="26">
        <v>-1226.0999999999995</v>
      </c>
      <c r="G59" s="14">
        <v>-11.825787373095341</v>
      </c>
      <c r="H59" s="25">
        <v>79250.799149022292</v>
      </c>
      <c r="I59" s="31">
        <f t="shared" si="16"/>
        <v>11.680679924125174</v>
      </c>
    </row>
    <row r="60" spans="1:9" ht="12" customHeight="1" x14ac:dyDescent="0.15">
      <c r="A60" s="15" t="s">
        <v>5</v>
      </c>
      <c r="B60" s="24">
        <v>614.16000000000008</v>
      </c>
      <c r="C60" s="24">
        <v>900.29</v>
      </c>
      <c r="D60" s="25">
        <v>-404.47999999999979</v>
      </c>
      <c r="E60" s="25">
        <v>-1066.83</v>
      </c>
      <c r="F60" s="26">
        <v>614.16000000000008</v>
      </c>
      <c r="G60" s="14">
        <v>5.9235996844141905</v>
      </c>
      <c r="H60" s="25">
        <v>25007.9</v>
      </c>
      <c r="I60" s="31">
        <f t="shared" si="16"/>
        <v>3.6858842890057302</v>
      </c>
    </row>
    <row r="61" spans="1:9" ht="12" customHeight="1" x14ac:dyDescent="0.15">
      <c r="A61" s="15" t="s">
        <v>6</v>
      </c>
      <c r="B61" s="24">
        <v>4184.9399999999969</v>
      </c>
      <c r="C61" s="24">
        <v>5331.0600000000049</v>
      </c>
      <c r="D61" s="25">
        <v>-1187.0199999999986</v>
      </c>
      <c r="E61" s="25">
        <v>1654.4900000000016</v>
      </c>
      <c r="F61" s="26">
        <v>4184.9399999999969</v>
      </c>
      <c r="G61" s="14">
        <v>40.363926767116553</v>
      </c>
      <c r="H61" s="25">
        <v>168685.30578057558</v>
      </c>
      <c r="I61" s="31">
        <f t="shared" si="16"/>
        <v>24.862324240050185</v>
      </c>
    </row>
    <row r="62" spans="1:9" ht="12" customHeight="1" x14ac:dyDescent="0.15">
      <c r="A62" s="16" t="s">
        <v>7</v>
      </c>
      <c r="B62" s="27">
        <v>2313.6099999999997</v>
      </c>
      <c r="C62" s="27">
        <v>4020.53</v>
      </c>
      <c r="D62" s="32">
        <v>4799.91</v>
      </c>
      <c r="E62" s="32">
        <v>10103.840000000004</v>
      </c>
      <c r="F62" s="28">
        <v>2313.6099999999997</v>
      </c>
      <c r="G62" s="14">
        <v>22.314868219775811</v>
      </c>
      <c r="H62" s="30">
        <v>47842.949999999983</v>
      </c>
      <c r="I62" s="17">
        <f t="shared" si="16"/>
        <v>7.0515148311008371</v>
      </c>
    </row>
    <row r="63" spans="1:9" ht="12" customHeight="1" x14ac:dyDescent="0.15">
      <c r="A63" s="18" t="s">
        <v>8</v>
      </c>
      <c r="B63" s="33">
        <v>10368.019999999999</v>
      </c>
      <c r="C63" s="33">
        <v>16983.480000000003</v>
      </c>
      <c r="D63" s="33">
        <v>9909.9900000000016</v>
      </c>
      <c r="E63" s="33">
        <v>46499.240000000013</v>
      </c>
      <c r="F63" s="33">
        <v>10368.019999999999</v>
      </c>
      <c r="G63" s="34">
        <v>100</v>
      </c>
      <c r="H63" s="33">
        <v>678477.62</v>
      </c>
      <c r="I63" s="33">
        <f>SUM(I54:I62)</f>
        <v>99.999999999999986</v>
      </c>
    </row>
    <row r="64" spans="1:9" ht="12" customHeight="1" x14ac:dyDescent="0.15">
      <c r="A64" s="23"/>
    </row>
    <row r="65" spans="1:9" ht="12" customHeight="1" x14ac:dyDescent="0.15">
      <c r="A65" s="4" t="s">
        <v>22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24</v>
      </c>
      <c r="G67" s="12" t="s">
        <v>0</v>
      </c>
      <c r="H67" s="29">
        <v>45657</v>
      </c>
      <c r="I67" s="10" t="s">
        <v>0</v>
      </c>
    </row>
    <row r="68" spans="1:9" ht="12" customHeight="1" x14ac:dyDescent="0.15">
      <c r="A68" s="13" t="s">
        <v>2</v>
      </c>
      <c r="B68" s="24">
        <v>-875.0900000000006</v>
      </c>
      <c r="C68" s="24">
        <v>-27.969999999999573</v>
      </c>
      <c r="D68" s="25">
        <v>25.549999999999955</v>
      </c>
      <c r="E68" s="25">
        <v>11.430000000000746</v>
      </c>
      <c r="F68" s="26">
        <v>-875.87000000000035</v>
      </c>
      <c r="G68" s="14">
        <v>8.7952619037338291</v>
      </c>
      <c r="H68" s="25">
        <v>42485.790947685819</v>
      </c>
      <c r="I68" s="31">
        <f>+H68/$H$77*100</f>
        <v>13.591170471079343</v>
      </c>
    </row>
    <row r="69" spans="1:9" ht="12" customHeight="1" x14ac:dyDescent="0.15">
      <c r="A69" s="15" t="s">
        <v>20</v>
      </c>
      <c r="B69" s="24">
        <v>-90.779999999999973</v>
      </c>
      <c r="C69" s="24">
        <v>385.43999999999994</v>
      </c>
      <c r="D69" s="25">
        <v>430.50000000000011</v>
      </c>
      <c r="E69" s="25">
        <v>5856.58</v>
      </c>
      <c r="F69" s="26">
        <v>-90.779999999999973</v>
      </c>
      <c r="G69" s="14">
        <v>0.91158947745779217</v>
      </c>
      <c r="H69" s="25">
        <v>11521.705479149547</v>
      </c>
      <c r="I69" s="31">
        <f t="shared" ref="I69:I76" si="17">+H69/$H$77*100</f>
        <v>3.6857843479366825</v>
      </c>
    </row>
    <row r="70" spans="1:9" ht="12" customHeight="1" x14ac:dyDescent="0.15">
      <c r="A70" s="15" t="s">
        <v>3</v>
      </c>
      <c r="B70" s="24">
        <v>-61.499999999999986</v>
      </c>
      <c r="C70" s="24">
        <v>-29.819999999999993</v>
      </c>
      <c r="D70" s="25">
        <v>16.379999999999995</v>
      </c>
      <c r="E70" s="25">
        <v>-6.1500000000000057</v>
      </c>
      <c r="F70" s="26">
        <v>-61.499999999999986</v>
      </c>
      <c r="G70" s="14">
        <v>0.61756722696248323</v>
      </c>
      <c r="H70" s="25">
        <v>1577.6875183864727</v>
      </c>
      <c r="I70" s="31">
        <f t="shared" si="17"/>
        <v>0.50470097258840474</v>
      </c>
    </row>
    <row r="71" spans="1:9" ht="12" customHeight="1" x14ac:dyDescent="0.15">
      <c r="A71" s="15" t="s">
        <v>4</v>
      </c>
      <c r="B71" s="24">
        <v>-2558.44</v>
      </c>
      <c r="C71" s="24">
        <v>-193.44000000000051</v>
      </c>
      <c r="D71" s="25">
        <v>2059.91</v>
      </c>
      <c r="E71" s="25">
        <v>139.76000000000022</v>
      </c>
      <c r="F71" s="26">
        <v>-2558.44</v>
      </c>
      <c r="G71" s="14">
        <v>25.691198311380418</v>
      </c>
      <c r="H71" s="25">
        <v>59092.6</v>
      </c>
      <c r="I71" s="31">
        <f t="shared" si="17"/>
        <v>18.903675376274233</v>
      </c>
    </row>
    <row r="72" spans="1:9" ht="12" customHeight="1" x14ac:dyDescent="0.15">
      <c r="A72" s="15" t="s">
        <v>18</v>
      </c>
      <c r="B72" s="24">
        <v>-1391.51</v>
      </c>
      <c r="C72" s="24">
        <v>-78.720000000000027</v>
      </c>
      <c r="D72" s="25">
        <v>218.93999999999994</v>
      </c>
      <c r="E72" s="25">
        <v>193.26999999999998</v>
      </c>
      <c r="F72" s="26">
        <v>-1391.51</v>
      </c>
      <c r="G72" s="14">
        <v>13.973186536431955</v>
      </c>
      <c r="H72" s="25">
        <v>11097.25</v>
      </c>
      <c r="I72" s="31">
        <f t="shared" si="17"/>
        <v>3.5500013803650412</v>
      </c>
    </row>
    <row r="73" spans="1:9" ht="12" customHeight="1" x14ac:dyDescent="0.15">
      <c r="A73" s="15" t="s">
        <v>29</v>
      </c>
      <c r="B73" s="24">
        <v>-3375.92</v>
      </c>
      <c r="C73" s="24">
        <v>3864.6299999999992</v>
      </c>
      <c r="D73" s="25">
        <v>1182.4000000000005</v>
      </c>
      <c r="E73" s="25">
        <v>-1941.4000000000005</v>
      </c>
      <c r="F73" s="26">
        <v>-3375.92</v>
      </c>
      <c r="G73" s="14">
        <v>33.900122810523364</v>
      </c>
      <c r="H73" s="25">
        <v>68357.336885498968</v>
      </c>
      <c r="I73" s="31">
        <f t="shared" si="17"/>
        <v>21.867457280100879</v>
      </c>
    </row>
    <row r="74" spans="1:9" ht="12" customHeight="1" x14ac:dyDescent="0.15">
      <c r="A74" s="15" t="s">
        <v>5</v>
      </c>
      <c r="B74" s="24">
        <v>-306.14999999999998</v>
      </c>
      <c r="C74" s="24">
        <v>35.549999999999955</v>
      </c>
      <c r="D74" s="25">
        <v>294.70000000000005</v>
      </c>
      <c r="E74" s="25">
        <v>517.03</v>
      </c>
      <c r="F74" s="26">
        <v>-306.14999999999998</v>
      </c>
      <c r="G74" s="14">
        <v>3.0742797810498255</v>
      </c>
      <c r="H74" s="25">
        <v>8538.07</v>
      </c>
      <c r="I74" s="31">
        <f t="shared" si="17"/>
        <v>2.7313217495914164</v>
      </c>
    </row>
    <row r="75" spans="1:9" ht="12" customHeight="1" x14ac:dyDescent="0.15">
      <c r="A75" s="15" t="s">
        <v>6</v>
      </c>
      <c r="B75" s="24">
        <v>-657.01999999999862</v>
      </c>
      <c r="C75" s="24">
        <v>1458.7400000000034</v>
      </c>
      <c r="D75" s="25">
        <v>5306.95</v>
      </c>
      <c r="E75" s="25">
        <v>7571.7900000000009</v>
      </c>
      <c r="F75" s="26">
        <v>-674.69999999999527</v>
      </c>
      <c r="G75" s="14">
        <v>6.7751643582371486</v>
      </c>
      <c r="H75" s="25">
        <v>96695.969169279197</v>
      </c>
      <c r="I75" s="31">
        <f t="shared" si="17"/>
        <v>30.932963033785544</v>
      </c>
    </row>
    <row r="76" spans="1:9" ht="12" customHeight="1" x14ac:dyDescent="0.15">
      <c r="A76" s="16" t="s">
        <v>7</v>
      </c>
      <c r="B76" s="27">
        <v>-623.55999999999995</v>
      </c>
      <c r="C76" s="27">
        <v>793.56999999999971</v>
      </c>
      <c r="D76" s="32">
        <v>796.33999999999992</v>
      </c>
      <c r="E76" s="32">
        <v>-275.71000000000004</v>
      </c>
      <c r="F76" s="28">
        <v>-623.55999999999995</v>
      </c>
      <c r="G76" s="14">
        <v>6.2616295942231881</v>
      </c>
      <c r="H76" s="30">
        <v>13232.060000000001</v>
      </c>
      <c r="I76" s="17">
        <f t="shared" si="17"/>
        <v>4.2329253882784519</v>
      </c>
    </row>
    <row r="77" spans="1:9" ht="12" customHeight="1" x14ac:dyDescent="0.15">
      <c r="A77" s="18" t="s">
        <v>8</v>
      </c>
      <c r="B77" s="20">
        <v>-9939.9699999999993</v>
      </c>
      <c r="C77" s="20">
        <v>6207.9800000000023</v>
      </c>
      <c r="D77" s="20">
        <v>10331.670000000002</v>
      </c>
      <c r="E77" s="20">
        <v>12066.600000000002</v>
      </c>
      <c r="F77" s="20">
        <v>-9958.4299999999948</v>
      </c>
      <c r="G77" s="19">
        <v>100.00000000000001</v>
      </c>
      <c r="H77" s="20">
        <v>312598.47000000003</v>
      </c>
      <c r="I77" s="20">
        <f>SUM(I68:I76)</f>
        <v>99.999999999999986</v>
      </c>
    </row>
    <row r="78" spans="1:9" ht="12" customHeight="1" x14ac:dyDescent="0.15">
      <c r="A78" s="23"/>
    </row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24</v>
      </c>
      <c r="G81" s="12" t="s">
        <v>0</v>
      </c>
      <c r="H81" s="29">
        <v>45657</v>
      </c>
      <c r="I81" s="10" t="s">
        <v>0</v>
      </c>
    </row>
    <row r="82" spans="1:9" ht="12" customHeight="1" x14ac:dyDescent="0.15">
      <c r="A82" s="13" t="s">
        <v>2</v>
      </c>
      <c r="B82" s="24">
        <v>-173.68000000000006</v>
      </c>
      <c r="C82" s="24">
        <v>-30.109999999999957</v>
      </c>
      <c r="D82" s="25">
        <v>48.949999999999818</v>
      </c>
      <c r="E82" s="25">
        <v>-48.500000000000114</v>
      </c>
      <c r="F82" s="26">
        <v>-172.88999999999987</v>
      </c>
      <c r="G82" s="14">
        <v>6.0764859079933755</v>
      </c>
      <c r="H82" s="25">
        <v>1443.13</v>
      </c>
      <c r="I82" s="31">
        <f>+H82/$H$91*100</f>
        <v>7.4546844571174722</v>
      </c>
    </row>
    <row r="83" spans="1:9" ht="12" customHeight="1" x14ac:dyDescent="0.15">
      <c r="A83" s="15" t="s">
        <v>20</v>
      </c>
      <c r="B83" s="24">
        <v>-1075.71</v>
      </c>
      <c r="C83" s="24">
        <v>-245.54000000000008</v>
      </c>
      <c r="D83" s="25">
        <v>410.60000000000014</v>
      </c>
      <c r="E83" s="25">
        <v>-307.96000000000004</v>
      </c>
      <c r="F83" s="26">
        <v>-1075.71</v>
      </c>
      <c r="G83" s="14">
        <v>37.807488322560921</v>
      </c>
      <c r="H83" s="25">
        <v>4606.12</v>
      </c>
      <c r="I83" s="31">
        <f t="shared" ref="I83:I90" si="18">+H83/$H$91*100</f>
        <v>23.7935398554655</v>
      </c>
    </row>
    <row r="84" spans="1:9" ht="12" customHeight="1" x14ac:dyDescent="0.15">
      <c r="A84" s="15" t="s">
        <v>3</v>
      </c>
      <c r="B84" s="24">
        <v>-7.3599999999999994</v>
      </c>
      <c r="C84" s="24">
        <v>-5.98</v>
      </c>
      <c r="D84" s="25">
        <v>-5.86</v>
      </c>
      <c r="E84" s="25">
        <v>-6.75</v>
      </c>
      <c r="F84" s="26">
        <v>-7.3599999999999994</v>
      </c>
      <c r="G84" s="14">
        <v>0.25867856025699154</v>
      </c>
      <c r="H84" s="25">
        <v>284.77</v>
      </c>
      <c r="I84" s="31">
        <f t="shared" si="18"/>
        <v>1.4710181985360586</v>
      </c>
    </row>
    <row r="85" spans="1:9" ht="12" customHeight="1" x14ac:dyDescent="0.15">
      <c r="A85" s="15" t="s">
        <v>4</v>
      </c>
      <c r="B85" s="24">
        <v>-80.039999999999992</v>
      </c>
      <c r="C85" s="24">
        <v>-56.269999999999996</v>
      </c>
      <c r="D85" s="25">
        <v>32.08</v>
      </c>
      <c r="E85" s="25">
        <v>-52.429999999999993</v>
      </c>
      <c r="F85" s="26">
        <v>-80.039999999999992</v>
      </c>
      <c r="G85" s="14">
        <v>2.8131293427947832</v>
      </c>
      <c r="H85" s="25">
        <v>1708.31</v>
      </c>
      <c r="I85" s="31">
        <f t="shared" si="18"/>
        <v>8.8245078440184503</v>
      </c>
    </row>
    <row r="86" spans="1:9" ht="12" customHeight="1" x14ac:dyDescent="0.15">
      <c r="A86" s="15" t="s">
        <v>18</v>
      </c>
      <c r="B86" s="24">
        <v>-36.06</v>
      </c>
      <c r="C86" s="24">
        <v>-5.169999999999999</v>
      </c>
      <c r="D86" s="25">
        <v>-13.75</v>
      </c>
      <c r="E86" s="25">
        <v>-9.4699999999999989</v>
      </c>
      <c r="F86" s="26">
        <v>-36.06</v>
      </c>
      <c r="G86" s="14">
        <v>1.2673843590852061</v>
      </c>
      <c r="H86" s="25">
        <v>233.42</v>
      </c>
      <c r="I86" s="31">
        <f t="shared" si="18"/>
        <v>1.2057627836579936</v>
      </c>
    </row>
    <row r="87" spans="1:9" ht="12" customHeight="1" x14ac:dyDescent="0.15">
      <c r="A87" s="15" t="s">
        <v>29</v>
      </c>
      <c r="B87" s="24">
        <v>-15.420000000000002</v>
      </c>
      <c r="C87" s="24">
        <v>-78</v>
      </c>
      <c r="D87" s="25">
        <v>6.6099999999999994</v>
      </c>
      <c r="E87" s="25">
        <v>-42.390000000000008</v>
      </c>
      <c r="F87" s="26">
        <v>-15.420000000000002</v>
      </c>
      <c r="G87" s="14">
        <v>0.541959700973208</v>
      </c>
      <c r="H87" s="25">
        <v>1822.26</v>
      </c>
      <c r="I87" s="31">
        <f t="shared" si="18"/>
        <v>9.4131320801500085</v>
      </c>
    </row>
    <row r="88" spans="1:9" x14ac:dyDescent="0.15">
      <c r="A88" s="15" t="s">
        <v>5</v>
      </c>
      <c r="B88" s="24">
        <v>-196.03</v>
      </c>
      <c r="C88" s="24">
        <v>-42.739999999999995</v>
      </c>
      <c r="D88" s="25">
        <v>102.49000000000001</v>
      </c>
      <c r="E88" s="25">
        <v>-46.260000000000005</v>
      </c>
      <c r="F88" s="26">
        <v>-196.03</v>
      </c>
      <c r="G88" s="14">
        <v>6.8897769248883227</v>
      </c>
      <c r="H88" s="25">
        <v>1092.1199999999999</v>
      </c>
      <c r="I88" s="31">
        <f t="shared" si="18"/>
        <v>5.6414945218428914</v>
      </c>
    </row>
    <row r="89" spans="1:9" x14ac:dyDescent="0.15">
      <c r="A89" s="15" t="s">
        <v>6</v>
      </c>
      <c r="B89" s="24">
        <v>-1162.3899999999999</v>
      </c>
      <c r="C89" s="24">
        <v>-40.880000000000052</v>
      </c>
      <c r="D89" s="25">
        <v>530.81000000000017</v>
      </c>
      <c r="E89" s="25">
        <v>-447.74999999999977</v>
      </c>
      <c r="F89" s="26">
        <v>-1144.72</v>
      </c>
      <c r="G89" s="14">
        <v>40.232951290405353</v>
      </c>
      <c r="H89" s="25">
        <v>7133.3899999999994</v>
      </c>
      <c r="I89" s="31">
        <f t="shared" si="18"/>
        <v>36.848497058170224</v>
      </c>
    </row>
    <row r="90" spans="1:9" x14ac:dyDescent="0.15">
      <c r="A90" s="16" t="s">
        <v>7</v>
      </c>
      <c r="B90" s="27">
        <v>-117</v>
      </c>
      <c r="C90" s="27">
        <v>4.9999999999999982</v>
      </c>
      <c r="D90" s="32">
        <v>5.75</v>
      </c>
      <c r="E90" s="32">
        <v>-41.160000000000004</v>
      </c>
      <c r="F90" s="28">
        <v>-117</v>
      </c>
      <c r="G90" s="14">
        <v>4.1121455910418501</v>
      </c>
      <c r="H90" s="30">
        <v>1035.1799999999998</v>
      </c>
      <c r="I90" s="17">
        <f t="shared" si="18"/>
        <v>5.3473632010413912</v>
      </c>
    </row>
    <row r="91" spans="1:9" ht="12" customHeight="1" x14ac:dyDescent="0.15">
      <c r="A91" s="18" t="s">
        <v>8</v>
      </c>
      <c r="B91" s="20">
        <v>-2863.6899999999996</v>
      </c>
      <c r="C91" s="20">
        <v>-499.69000000000011</v>
      </c>
      <c r="D91" s="20">
        <v>1117.68</v>
      </c>
      <c r="E91" s="20">
        <v>-1002.6699999999998</v>
      </c>
      <c r="F91" s="20">
        <v>-2845.2299999999996</v>
      </c>
      <c r="G91" s="19">
        <v>100.00000000000001</v>
      </c>
      <c r="H91" s="20">
        <v>19358.7</v>
      </c>
      <c r="I91" s="20">
        <f>SUM(I82:I90)</f>
        <v>100</v>
      </c>
    </row>
    <row r="92" spans="1:9" x14ac:dyDescent="0.15">
      <c r="A92" s="23"/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24</v>
      </c>
      <c r="G95" s="12" t="s">
        <v>0</v>
      </c>
      <c r="H95" s="29">
        <v>45657</v>
      </c>
      <c r="I95" s="10" t="s">
        <v>0</v>
      </c>
    </row>
    <row r="96" spans="1:9" ht="12" customHeight="1" x14ac:dyDescent="0.15">
      <c r="A96" s="13" t="s">
        <v>2</v>
      </c>
      <c r="B96" s="24">
        <v>-215.5</v>
      </c>
      <c r="C96" s="24">
        <v>59.440000000000012</v>
      </c>
      <c r="D96" s="25">
        <v>20.63000000000001</v>
      </c>
      <c r="E96" s="25">
        <v>264.56</v>
      </c>
      <c r="F96" s="26">
        <v>-215.5</v>
      </c>
      <c r="G96" s="14">
        <v>-153.07572098309421</v>
      </c>
      <c r="H96" s="25">
        <v>6079.03</v>
      </c>
      <c r="I96" s="31">
        <f>H96/$H$105*100</f>
        <v>14.350876853370362</v>
      </c>
    </row>
    <row r="97" spans="1:9" ht="12" customHeight="1" x14ac:dyDescent="0.15">
      <c r="A97" s="15" t="s">
        <v>20</v>
      </c>
      <c r="B97" s="24">
        <v>-0.50999999999999979</v>
      </c>
      <c r="C97" s="24">
        <v>-0.16999999999999993</v>
      </c>
      <c r="D97" s="25">
        <v>1.3599999999999994</v>
      </c>
      <c r="E97" s="25">
        <v>9.759999999999998</v>
      </c>
      <c r="F97" s="26">
        <v>-0.50999999999999979</v>
      </c>
      <c r="G97" s="14">
        <v>-0.3622673675237959</v>
      </c>
      <c r="H97" s="25">
        <v>167.15</v>
      </c>
      <c r="I97" s="31">
        <f t="shared" ref="I97:I104" si="19">H97/$H$105*100</f>
        <v>0.39459404971530926</v>
      </c>
    </row>
    <row r="98" spans="1:9" ht="12" customHeight="1" x14ac:dyDescent="0.15">
      <c r="A98" s="15" t="s">
        <v>3</v>
      </c>
      <c r="B98" s="24">
        <v>-0.77</v>
      </c>
      <c r="C98" s="24">
        <v>-0.33999999999999997</v>
      </c>
      <c r="D98" s="25">
        <v>-0.59</v>
      </c>
      <c r="E98" s="25">
        <v>-0.6399999999999999</v>
      </c>
      <c r="F98" s="26">
        <v>-0.77</v>
      </c>
      <c r="G98" s="14">
        <v>-0.54695269214377051</v>
      </c>
      <c r="H98" s="25">
        <v>65.27</v>
      </c>
      <c r="I98" s="31">
        <f t="shared" si="19"/>
        <v>0.15408407792353113</v>
      </c>
    </row>
    <row r="99" spans="1:9" ht="12" customHeight="1" x14ac:dyDescent="0.15">
      <c r="A99" s="15" t="s">
        <v>4</v>
      </c>
      <c r="B99" s="24">
        <v>-3.5</v>
      </c>
      <c r="C99" s="24">
        <v>16.239999999999998</v>
      </c>
      <c r="D99" s="25">
        <v>38.779999999999994</v>
      </c>
      <c r="E99" s="25">
        <v>19.630000000000003</v>
      </c>
      <c r="F99" s="26">
        <v>-3.5</v>
      </c>
      <c r="G99" s="14">
        <v>-2.4861486006535025</v>
      </c>
      <c r="H99" s="25">
        <v>5804.09</v>
      </c>
      <c r="I99" s="31">
        <f t="shared" si="19"/>
        <v>13.701820987209864</v>
      </c>
    </row>
    <row r="100" spans="1:9" ht="12" customHeight="1" x14ac:dyDescent="0.15">
      <c r="A100" s="15" t="s">
        <v>18</v>
      </c>
      <c r="B100" s="24">
        <v>0</v>
      </c>
      <c r="C100" s="24">
        <v>0</v>
      </c>
      <c r="D100" s="25">
        <v>0</v>
      </c>
      <c r="E100" s="25">
        <v>0</v>
      </c>
      <c r="F100" s="26">
        <v>0</v>
      </c>
      <c r="G100" s="14">
        <v>0</v>
      </c>
      <c r="H100" s="25">
        <v>0</v>
      </c>
      <c r="I100" s="31">
        <f t="shared" si="19"/>
        <v>0</v>
      </c>
    </row>
    <row r="101" spans="1:9" ht="12" customHeight="1" x14ac:dyDescent="0.15">
      <c r="A101" s="15" t="s">
        <v>29</v>
      </c>
      <c r="B101" s="24">
        <v>0.31</v>
      </c>
      <c r="C101" s="24">
        <v>-0.75</v>
      </c>
      <c r="D101" s="25">
        <v>-0.85</v>
      </c>
      <c r="E101" s="25">
        <v>2.2700000000000005</v>
      </c>
      <c r="F101" s="26">
        <v>0.31</v>
      </c>
      <c r="G101" s="14">
        <v>0.2202017332007388</v>
      </c>
      <c r="H101" s="25">
        <v>46.9</v>
      </c>
      <c r="I101" s="31">
        <f t="shared" si="19"/>
        <v>0.11071768430540234</v>
      </c>
    </row>
    <row r="102" spans="1:9" ht="12" customHeight="1" x14ac:dyDescent="0.15">
      <c r="A102" s="15" t="s">
        <v>5</v>
      </c>
      <c r="B102" s="24">
        <v>3.84</v>
      </c>
      <c r="C102" s="24">
        <v>287.17</v>
      </c>
      <c r="D102" s="25">
        <v>-0.18</v>
      </c>
      <c r="E102" s="25">
        <v>136.01</v>
      </c>
      <c r="F102" s="26">
        <v>3.84</v>
      </c>
      <c r="G102" s="14">
        <v>2.7276601790026995</v>
      </c>
      <c r="H102" s="25">
        <v>2348.35</v>
      </c>
      <c r="I102" s="31">
        <f t="shared" si="19"/>
        <v>5.5437926212919315</v>
      </c>
    </row>
    <row r="103" spans="1:9" ht="12" customHeight="1" x14ac:dyDescent="0.15">
      <c r="A103" s="15" t="s">
        <v>6</v>
      </c>
      <c r="B103" s="24">
        <v>364.85999999999996</v>
      </c>
      <c r="C103" s="24">
        <v>-198.1699999999999</v>
      </c>
      <c r="D103" s="25">
        <v>283.30999999999989</v>
      </c>
      <c r="E103" s="25">
        <v>2965.0899999999997</v>
      </c>
      <c r="F103" s="26">
        <v>364.85999999999996</v>
      </c>
      <c r="G103" s="14">
        <v>259.17033669555337</v>
      </c>
      <c r="H103" s="25">
        <v>24637.269999999997</v>
      </c>
      <c r="I103" s="31">
        <f t="shared" si="19"/>
        <v>58.161652068378665</v>
      </c>
    </row>
    <row r="104" spans="1:9" ht="12" customHeight="1" x14ac:dyDescent="0.15">
      <c r="A104" s="16" t="s">
        <v>7</v>
      </c>
      <c r="B104" s="27">
        <v>-7.9499999999999886</v>
      </c>
      <c r="C104" s="27">
        <v>-34.64</v>
      </c>
      <c r="D104" s="32">
        <v>81.509999999999991</v>
      </c>
      <c r="E104" s="32">
        <v>154.28</v>
      </c>
      <c r="F104" s="28">
        <v>-7.9499999999999886</v>
      </c>
      <c r="G104" s="14">
        <v>-5.6471089643415189</v>
      </c>
      <c r="H104" s="30">
        <v>3211.93</v>
      </c>
      <c r="I104" s="17">
        <f t="shared" si="19"/>
        <v>7.5824616578049246</v>
      </c>
    </row>
    <row r="105" spans="1:9" ht="12" customHeight="1" x14ac:dyDescent="0.15">
      <c r="A105" s="18" t="s">
        <v>8</v>
      </c>
      <c r="B105" s="20">
        <v>140.77999999999997</v>
      </c>
      <c r="C105" s="20">
        <v>128.78000000000014</v>
      </c>
      <c r="D105" s="20">
        <v>423.96999999999991</v>
      </c>
      <c r="E105" s="20">
        <v>3550.96</v>
      </c>
      <c r="F105" s="20">
        <v>140.77999999999997</v>
      </c>
      <c r="G105" s="19">
        <v>100.00000000000001</v>
      </c>
      <c r="H105" s="20">
        <v>42359.99</v>
      </c>
      <c r="I105" s="20">
        <f>SUM(I96:I104)</f>
        <v>99.999999999999986</v>
      </c>
    </row>
    <row r="107" spans="1:9" x14ac:dyDescent="0.15">
      <c r="A107" s="1" t="s">
        <v>25</v>
      </c>
    </row>
    <row r="108" spans="1:9" x14ac:dyDescent="0.15">
      <c r="A108" s="1" t="s">
        <v>26</v>
      </c>
    </row>
    <row r="109" spans="1:9" x14ac:dyDescent="0.15">
      <c r="A109" s="1" t="s">
        <v>27</v>
      </c>
    </row>
    <row r="110" spans="1:9" x14ac:dyDescent="0.15">
      <c r="A110" s="1" t="s">
        <v>28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8" ma:contentTypeDescription="Skapa ett nytt dokument." ma:contentTypeScope="" ma:versionID="e23774cd43884b3c339660b3233ecae2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df1481d873fee572288228582ce40757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3.xml><?xml version="1.0" encoding="utf-8"?>
<ds:datastoreItem xmlns:ds="http://schemas.openxmlformats.org/officeDocument/2006/customXml" ds:itemID="{D7D369C2-23EE-43D2-A134-47A7A43AD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acc2-f705-4b52-a6f2-f401f3ddbbbe"/>
    <ds:schemaRef ds:uri="4607566f-1f79-4f5d-83a9-e2ecf0037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</vt:lpstr>
      <vt:lpstr>'2024'!Print_Area</vt:lpstr>
      <vt:lpstr>'2024'!Print_Titles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Castor Mark</cp:lastModifiedBy>
  <cp:lastPrinted>2024-10-30T13:15:17Z</cp:lastPrinted>
  <dcterms:created xsi:type="dcterms:W3CDTF">2001-01-11T13:23:45Z</dcterms:created>
  <dcterms:modified xsi:type="dcterms:W3CDTF">2026-05-08T13:16:43Z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